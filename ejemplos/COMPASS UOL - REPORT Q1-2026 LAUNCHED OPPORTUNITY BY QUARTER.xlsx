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erlin_rey_arrieta_intel_com/Documents/PROGRAMAS/Calc_Cloud/EX_EXCEL/"/>
    </mc:Choice>
  </mc:AlternateContent>
  <xr:revisionPtr revIDLastSave="1" documentId="8_{A98ED94D-9454-467F-935F-92E0EDF02BC5}" xr6:coauthVersionLast="47" xr6:coauthVersionMax="47" xr10:uidLastSave="{76DD4B0D-D842-4624-AB2B-44F751E853BD}"/>
  <bookViews>
    <workbookView xWindow="38280" yWindow="-120" windowWidth="38640" windowHeight="21120" xr2:uid="{5153BF25-5DED-40E4-9EBF-66C000AE7CD8}"/>
  </bookViews>
  <sheets>
    <sheet name="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7" i="1"/>
</calcChain>
</file>

<file path=xl/sharedStrings.xml><?xml version="1.0" encoding="utf-8"?>
<sst xmlns="http://schemas.openxmlformats.org/spreadsheetml/2006/main" count="77" uniqueCount="62">
  <si>
    <t>To be fulfilled by INTEL</t>
  </si>
  <si>
    <t>SEGMENT</t>
  </si>
  <si>
    <t>WORKLOAD TYPE</t>
  </si>
  <si>
    <t>DATE INPUT</t>
  </si>
  <si>
    <t>INTEL INSTANCE TYPE</t>
  </si>
  <si>
    <t>NUMBER OF 
INSTANCES</t>
  </si>
  <si>
    <t>NEW BUSINESS FOR AWS
(Y/N)</t>
  </si>
  <si>
    <t>POTENTIAL CASE 
OR WHITE PAPER
(Y/N)</t>
  </si>
  <si>
    <t>EXPECTED TOTAL INTEL ARR
(REVISED)</t>
  </si>
  <si>
    <t>INTEL PROGRAM 
TO SUPPORT</t>
  </si>
  <si>
    <t>INTEL FUND APPROVED
(Y/N)</t>
  </si>
  <si>
    <t>PERCENTAGE APROVED FOR THE PROJECT</t>
  </si>
  <si>
    <t>CALCULADORA</t>
  </si>
  <si>
    <t>EXPECTED TOTAL AWS ARR (ONLY INSTANCES EC2) - DOLAR</t>
  </si>
  <si>
    <t xml:space="preserve">LAUNCHED DATE
</t>
  </si>
  <si>
    <t>VALUE APPROVED</t>
  </si>
  <si>
    <t>CUSTOMER NAME</t>
  </si>
  <si>
    <t>To be fulfilled by PARTNER</t>
  </si>
  <si>
    <t>ACE OPPTY</t>
  </si>
  <si>
    <t>FSI</t>
  </si>
  <si>
    <t>Y</t>
  </si>
  <si>
    <t>CRITICAL INFORMATION</t>
  </si>
  <si>
    <t>MARKET AND WORKLOAD FOCUS 2026  -  Q1</t>
  </si>
  <si>
    <t>Gamimg</t>
  </si>
  <si>
    <t>Cactus Gaming</t>
  </si>
  <si>
    <t>O8930630</t>
  </si>
  <si>
    <t>Retail</t>
  </si>
  <si>
    <t>Lojas Riachuelo S/A</t>
  </si>
  <si>
    <t>O14016374</t>
  </si>
  <si>
    <t>https://calculator.aws/#/estimate?id=7fa5ce0bd38a9f4d98a45202b79de322ddc7573d</t>
  </si>
  <si>
    <t>N</t>
  </si>
  <si>
    <t>M7I</t>
  </si>
  <si>
    <t>https://calculator.aws/#/estimate?id=10b453bcb8240570535c37845355cee2e9a94b25</t>
  </si>
  <si>
    <t>O14662976</t>
  </si>
  <si>
    <t>https://calculator.aws/#/estimate?id=857676faf2c2cbb729409da4bbf9d78d8d809334</t>
  </si>
  <si>
    <t>Fundo Garantidor de Créditos (FGC)</t>
  </si>
  <si>
    <t>SQL Server</t>
  </si>
  <si>
    <t>SQL Server / EKS / EC2</t>
  </si>
  <si>
    <t>C6I, M6I, M7I</t>
  </si>
  <si>
    <t>O10012089</t>
  </si>
  <si>
    <t>Dimensa</t>
  </si>
  <si>
    <t>EC2</t>
  </si>
  <si>
    <t>https://calculator.aws/#/estimate?id=166e554154b9ea99921654276d3b85fa82886569</t>
  </si>
  <si>
    <t>M7I, R7I</t>
  </si>
  <si>
    <t>O8046843</t>
  </si>
  <si>
    <t>Esfera</t>
  </si>
  <si>
    <t>EC2 / EKS / RDS</t>
  </si>
  <si>
    <t>Software &amp; Internet</t>
  </si>
  <si>
    <t>Supelógica</t>
  </si>
  <si>
    <t>O11550188</t>
  </si>
  <si>
    <t>RDS</t>
  </si>
  <si>
    <t>https://calculator.aws/#/estimate?id=1811ae01ae4a7e7701e0ce7c9fb2a56e527215b1</t>
  </si>
  <si>
    <t>https://calculator.aws/#/estimate?id=840fa50c0e459d7ee5c537d356516845a65e3dc6</t>
  </si>
  <si>
    <t>O8335348</t>
  </si>
  <si>
    <t>Centerbase</t>
  </si>
  <si>
    <t>Professional Services</t>
  </si>
  <si>
    <t>https://calculator.aws/#/estimate?id=67f3cd4503285e50f20495cc0ae3cf356094eb7f</t>
  </si>
  <si>
    <t>M6I,R6I</t>
  </si>
  <si>
    <t>R6I, M7I, C7I-flex</t>
  </si>
  <si>
    <t>R6ID, R8I-flex, x2iedn</t>
  </si>
  <si>
    <t xml:space="preserve">EC2 Analytics </t>
  </si>
  <si>
    <t>EC2 /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</si>
</sst>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4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/>
    </xf>
    <xf numFmtId="14" fontId="0" fillId="4" borderId="10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0" fillId="4" borderId="15" xfId="0" applyNumberForma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4" fillId="0" borderId="12" xfId="0" applyFont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5" fillId="5" borderId="0" xfId="0" applyFont="1" applyFill="1"/>
    <xf numFmtId="0" fontId="0" fillId="6" borderId="10" xfId="0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0" fillId="7" borderId="0" xfId="0" applyFill="1"/>
    <xf numFmtId="14" fontId="5" fillId="7" borderId="10" xfId="0" applyNumberFormat="1" applyFon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0" fontId="6" fillId="7" borderId="10" xfId="1" applyFill="1" applyBorder="1" applyAlignment="1">
      <alignment horizontal="center" wrapText="1"/>
    </xf>
    <xf numFmtId="0" fontId="5" fillId="7" borderId="10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14" fontId="5" fillId="7" borderId="10" xfId="0" applyNumberFormat="1" applyFont="1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calculator.aws/" TargetMode="External"/><Relationship Id="rId7" Type="http://schemas.openxmlformats.org/officeDocument/2006/relationships/hyperlink" Target="https://calculator.aws/" TargetMode="External"/><Relationship Id="rId2" Type="http://schemas.openxmlformats.org/officeDocument/2006/relationships/hyperlink" Target="https://calculator.aws/" TargetMode="External"/><Relationship Id="rId1" Type="http://schemas.openxmlformats.org/officeDocument/2006/relationships/hyperlink" Target="https://calculator.aws/" TargetMode="External"/><Relationship Id="rId6" Type="http://schemas.openxmlformats.org/officeDocument/2006/relationships/hyperlink" Target="https://calculator.aws/" TargetMode="External"/><Relationship Id="rId5" Type="http://schemas.openxmlformats.org/officeDocument/2006/relationships/hyperlink" Target="https://calculator.aws/" TargetMode="External"/><Relationship Id="rId4" Type="http://schemas.openxmlformats.org/officeDocument/2006/relationships/hyperlink" Target="https://calculator.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6700-5C8C-4027-88F4-AF7ED371630A}">
  <dimension ref="B1:R28"/>
  <sheetViews>
    <sheetView tabSelected="1" zoomScale="120" zoomScaleNormal="120" workbookViewId="0">
      <selection activeCell="I10" sqref="I10"/>
    </sheetView>
  </sheetViews>
  <sheetFormatPr baseColWidth="10" defaultColWidth="9.140625" defaultRowHeight="15" x14ac:dyDescent="0.25"/>
  <cols>
    <col min="1" max="1" width="2.140625" customWidth="1"/>
    <col min="2" max="2" width="9.28515625" customWidth="1"/>
    <col min="3" max="3" width="18.85546875" customWidth="1"/>
    <col min="4" max="4" width="13.5703125" customWidth="1"/>
    <col min="5" max="5" width="13.85546875" bestFit="1" customWidth="1"/>
    <col min="6" max="6" width="16" customWidth="1"/>
    <col min="7" max="7" width="18.28515625" bestFit="1" customWidth="1"/>
    <col min="8" max="8" width="12.7109375" customWidth="1"/>
    <col min="9" max="9" width="22.28515625" customWidth="1"/>
    <col min="10" max="10" width="20.5703125" customWidth="1"/>
    <col min="11" max="11" width="8.140625" customWidth="1"/>
    <col min="12" max="12" width="8.85546875" customWidth="1"/>
    <col min="13" max="13" width="16.7109375" bestFit="1" customWidth="1"/>
    <col min="14" max="14" width="10.5703125" customWidth="1"/>
    <col min="15" max="15" width="12.140625" customWidth="1"/>
    <col min="16" max="16" width="10.42578125" customWidth="1"/>
    <col min="17" max="17" width="11.42578125" customWidth="1"/>
    <col min="18" max="18" width="11.7109375" customWidth="1"/>
  </cols>
  <sheetData>
    <row r="1" spans="2:18" ht="15.75" thickBot="1" x14ac:dyDescent="0.3"/>
    <row r="2" spans="2:18" ht="15.75" thickBot="1" x14ac:dyDescent="0.3">
      <c r="B2" s="32" t="s">
        <v>22</v>
      </c>
      <c r="C2" s="33"/>
      <c r="D2" s="33"/>
      <c r="E2" s="33"/>
      <c r="F2" s="33"/>
      <c r="G2" s="34"/>
      <c r="H2" s="1"/>
      <c r="I2" s="20" t="s">
        <v>21</v>
      </c>
    </row>
    <row r="3" spans="2:18" x14ac:dyDescent="0.25">
      <c r="I3" s="24"/>
    </row>
    <row r="4" spans="2:18" x14ac:dyDescent="0.25">
      <c r="B4" s="35" t="s">
        <v>17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  <c r="N4" s="38" t="s">
        <v>0</v>
      </c>
      <c r="O4" s="39"/>
      <c r="P4" s="39"/>
      <c r="Q4" s="39"/>
      <c r="R4" s="40"/>
    </row>
    <row r="5" spans="2:18" ht="15.75" thickBot="1" x14ac:dyDescent="0.3"/>
    <row r="6" spans="2:18" ht="57" thickBot="1" x14ac:dyDescent="0.3">
      <c r="B6" s="2" t="s">
        <v>1</v>
      </c>
      <c r="C6" s="19" t="s">
        <v>16</v>
      </c>
      <c r="D6" s="3" t="s">
        <v>2</v>
      </c>
      <c r="E6" s="19" t="s">
        <v>18</v>
      </c>
      <c r="F6" s="3" t="s">
        <v>3</v>
      </c>
      <c r="G6" s="3" t="s">
        <v>4</v>
      </c>
      <c r="H6" s="3" t="s">
        <v>5</v>
      </c>
      <c r="I6" s="19" t="s">
        <v>12</v>
      </c>
      <c r="J6" s="3" t="s">
        <v>13</v>
      </c>
      <c r="K6" s="3" t="s">
        <v>6</v>
      </c>
      <c r="L6" s="3" t="s">
        <v>7</v>
      </c>
      <c r="M6" s="19" t="s">
        <v>14</v>
      </c>
      <c r="N6" s="4" t="s">
        <v>8</v>
      </c>
      <c r="O6" s="4" t="s">
        <v>9</v>
      </c>
      <c r="P6" s="4" t="s">
        <v>10</v>
      </c>
      <c r="Q6" s="5" t="s">
        <v>11</v>
      </c>
      <c r="R6" s="18" t="s">
        <v>15</v>
      </c>
    </row>
    <row r="7" spans="2:18" s="6" customFormat="1" ht="60" x14ac:dyDescent="0.25">
      <c r="B7" s="10" t="s">
        <v>23</v>
      </c>
      <c r="C7" s="22" t="s">
        <v>24</v>
      </c>
      <c r="D7" s="7" t="s">
        <v>60</v>
      </c>
      <c r="E7" s="23" t="s">
        <v>25</v>
      </c>
      <c r="F7" s="7"/>
      <c r="G7" s="7" t="s">
        <v>31</v>
      </c>
      <c r="H7" s="7">
        <v>72</v>
      </c>
      <c r="I7" s="27" t="s">
        <v>32</v>
      </c>
      <c r="J7" s="26">
        <f>36140*12</f>
        <v>433680</v>
      </c>
      <c r="K7" s="21" t="s">
        <v>30</v>
      </c>
      <c r="L7" s="21" t="s">
        <v>30</v>
      </c>
      <c r="M7" s="25">
        <v>46108</v>
      </c>
      <c r="N7" s="7"/>
      <c r="O7" s="7"/>
      <c r="P7" s="7"/>
      <c r="Q7" s="9"/>
      <c r="R7" s="17"/>
    </row>
    <row r="8" spans="2:18" ht="60" x14ac:dyDescent="0.25">
      <c r="B8" s="10" t="s">
        <v>26</v>
      </c>
      <c r="C8" s="22" t="s">
        <v>27</v>
      </c>
      <c r="D8" s="29" t="s">
        <v>37</v>
      </c>
      <c r="E8" s="22" t="s">
        <v>28</v>
      </c>
      <c r="F8" s="7"/>
      <c r="G8" s="7" t="s">
        <v>38</v>
      </c>
      <c r="H8" s="7">
        <v>220</v>
      </c>
      <c r="I8" s="27" t="s">
        <v>29</v>
      </c>
      <c r="J8" s="26">
        <v>772975</v>
      </c>
      <c r="K8" s="21" t="s">
        <v>20</v>
      </c>
      <c r="L8" s="21" t="s">
        <v>30</v>
      </c>
      <c r="M8" s="25">
        <v>46099</v>
      </c>
      <c r="N8" s="7"/>
      <c r="O8" s="7"/>
      <c r="P8" s="7"/>
      <c r="Q8" s="9"/>
      <c r="R8" s="15"/>
    </row>
    <row r="9" spans="2:18" ht="60" x14ac:dyDescent="0.25">
      <c r="B9" s="10" t="s">
        <v>19</v>
      </c>
      <c r="C9" s="28" t="s">
        <v>35</v>
      </c>
      <c r="D9" s="7" t="s">
        <v>36</v>
      </c>
      <c r="E9" s="22" t="s">
        <v>33</v>
      </c>
      <c r="F9" s="8"/>
      <c r="G9" s="7" t="s">
        <v>31</v>
      </c>
      <c r="H9" s="7">
        <v>1</v>
      </c>
      <c r="I9" s="27" t="s">
        <v>34</v>
      </c>
      <c r="J9" s="26">
        <f>12290.86*12</f>
        <v>147490.32</v>
      </c>
      <c r="K9" s="7" t="s">
        <v>30</v>
      </c>
      <c r="L9" s="7" t="s">
        <v>30</v>
      </c>
      <c r="M9" s="25">
        <v>46064</v>
      </c>
      <c r="N9" s="7"/>
      <c r="O9" s="7"/>
      <c r="P9" s="7"/>
      <c r="Q9" s="9"/>
      <c r="R9" s="15"/>
    </row>
    <row r="10" spans="2:18" ht="60" x14ac:dyDescent="0.25">
      <c r="B10" s="10" t="s">
        <v>19</v>
      </c>
      <c r="C10" s="28" t="s">
        <v>40</v>
      </c>
      <c r="D10" s="7" t="s">
        <v>41</v>
      </c>
      <c r="E10" s="22" t="s">
        <v>39</v>
      </c>
      <c r="F10" s="8"/>
      <c r="G10" s="7" t="s">
        <v>43</v>
      </c>
      <c r="H10" s="7">
        <v>18</v>
      </c>
      <c r="I10" s="27" t="s">
        <v>42</v>
      </c>
      <c r="J10" s="26">
        <v>258288</v>
      </c>
      <c r="K10" s="7" t="s">
        <v>30</v>
      </c>
      <c r="L10" s="7" t="s">
        <v>30</v>
      </c>
      <c r="M10" s="25">
        <v>46052</v>
      </c>
      <c r="N10" s="7"/>
      <c r="O10" s="7"/>
      <c r="P10" s="7"/>
      <c r="Q10" s="9"/>
      <c r="R10" s="15"/>
    </row>
    <row r="11" spans="2:18" ht="60" x14ac:dyDescent="0.25">
      <c r="B11" s="10" t="s">
        <v>19</v>
      </c>
      <c r="C11" s="28" t="s">
        <v>45</v>
      </c>
      <c r="D11" s="7" t="s">
        <v>46</v>
      </c>
      <c r="E11" s="28" t="s">
        <v>44</v>
      </c>
      <c r="F11" s="8"/>
      <c r="G11" s="7" t="s">
        <v>58</v>
      </c>
      <c r="H11" s="7">
        <v>40</v>
      </c>
      <c r="I11" s="27" t="s">
        <v>51</v>
      </c>
      <c r="J11" s="26">
        <v>266331</v>
      </c>
      <c r="K11" s="7" t="s">
        <v>30</v>
      </c>
      <c r="L11" s="7" t="s">
        <v>30</v>
      </c>
      <c r="M11" s="30">
        <v>46049</v>
      </c>
      <c r="N11" s="7"/>
      <c r="O11" s="7"/>
      <c r="P11" s="7"/>
      <c r="Q11" s="9"/>
      <c r="R11" s="15"/>
    </row>
    <row r="12" spans="2:18" ht="60" x14ac:dyDescent="0.25">
      <c r="B12" s="31" t="s">
        <v>47</v>
      </c>
      <c r="C12" s="28" t="s">
        <v>48</v>
      </c>
      <c r="D12" s="7" t="s">
        <v>50</v>
      </c>
      <c r="E12" s="28" t="s">
        <v>49</v>
      </c>
      <c r="F12" s="8"/>
      <c r="G12" s="7" t="s">
        <v>57</v>
      </c>
      <c r="H12" s="7">
        <v>21</v>
      </c>
      <c r="I12" s="27" t="s">
        <v>52</v>
      </c>
      <c r="J12" s="26">
        <v>173899</v>
      </c>
      <c r="K12" s="7" t="s">
        <v>30</v>
      </c>
      <c r="L12" s="7" t="s">
        <v>30</v>
      </c>
      <c r="M12" s="30">
        <v>46076</v>
      </c>
      <c r="N12" s="7"/>
      <c r="O12" s="7"/>
      <c r="P12" s="7"/>
      <c r="Q12" s="9"/>
      <c r="R12" s="15"/>
    </row>
    <row r="13" spans="2:18" ht="60" x14ac:dyDescent="0.25">
      <c r="B13" s="31" t="s">
        <v>55</v>
      </c>
      <c r="C13" s="28" t="s">
        <v>54</v>
      </c>
      <c r="D13" s="7" t="s">
        <v>61</v>
      </c>
      <c r="E13" s="28" t="s">
        <v>53</v>
      </c>
      <c r="F13" s="8"/>
      <c r="G13" s="7" t="s">
        <v>59</v>
      </c>
      <c r="H13" s="7">
        <v>89</v>
      </c>
      <c r="I13" s="27" t="s">
        <v>56</v>
      </c>
      <c r="J13" s="26">
        <v>768925</v>
      </c>
      <c r="K13" s="7" t="s">
        <v>30</v>
      </c>
      <c r="L13" s="7" t="s">
        <v>30</v>
      </c>
      <c r="M13" s="30">
        <v>46078</v>
      </c>
      <c r="N13" s="7"/>
      <c r="O13" s="7"/>
      <c r="P13" s="7"/>
      <c r="Q13" s="9"/>
      <c r="R13" s="15"/>
    </row>
    <row r="14" spans="2:18" x14ac:dyDescent="0.25">
      <c r="B14" s="10"/>
      <c r="C14" s="7"/>
      <c r="D14" s="7"/>
      <c r="E14" s="7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  <c r="R14" s="15"/>
    </row>
    <row r="15" spans="2:18" x14ac:dyDescent="0.25">
      <c r="B15" s="10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  <c r="R15" s="15"/>
    </row>
    <row r="16" spans="2:18" x14ac:dyDescent="0.25">
      <c r="B16" s="10"/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  <c r="O16" s="7"/>
      <c r="P16" s="7"/>
      <c r="Q16" s="9"/>
      <c r="R16" s="15"/>
    </row>
    <row r="17" spans="2:18" x14ac:dyDescent="0.25">
      <c r="B17" s="10"/>
      <c r="C17" s="7"/>
      <c r="D17" s="7"/>
      <c r="E17" s="7"/>
      <c r="F17" s="8"/>
      <c r="G17" s="7"/>
      <c r="H17" s="7"/>
      <c r="I17" s="7"/>
      <c r="J17" s="7"/>
      <c r="K17" s="7"/>
      <c r="L17" s="7"/>
      <c r="M17" s="7"/>
      <c r="N17" s="7"/>
      <c r="O17" s="7"/>
      <c r="P17" s="7"/>
      <c r="Q17" s="9"/>
      <c r="R17" s="15"/>
    </row>
    <row r="18" spans="2:18" x14ac:dyDescent="0.25">
      <c r="B18" s="10"/>
      <c r="C18" s="7"/>
      <c r="D18" s="7"/>
      <c r="E18" s="7"/>
      <c r="F18" s="8"/>
      <c r="G18" s="7"/>
      <c r="H18" s="7"/>
      <c r="I18" s="7"/>
      <c r="J18" s="7"/>
      <c r="K18" s="7"/>
      <c r="L18" s="7"/>
      <c r="M18" s="7"/>
      <c r="N18" s="7"/>
      <c r="O18" s="7"/>
      <c r="P18" s="7"/>
      <c r="Q18" s="9"/>
      <c r="R18" s="15"/>
    </row>
    <row r="19" spans="2:18" x14ac:dyDescent="0.25">
      <c r="B19" s="10"/>
      <c r="C19" s="7"/>
      <c r="D19" s="7"/>
      <c r="E19" s="7"/>
      <c r="F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9"/>
      <c r="R19" s="15"/>
    </row>
    <row r="20" spans="2:18" x14ac:dyDescent="0.25">
      <c r="B20" s="10"/>
      <c r="C20" s="7"/>
      <c r="D20" s="7"/>
      <c r="E20" s="7"/>
      <c r="F20" s="8"/>
      <c r="G20" s="7"/>
      <c r="H20" s="7"/>
      <c r="I20" s="7"/>
      <c r="J20" s="7"/>
      <c r="K20" s="7"/>
      <c r="L20" s="7"/>
      <c r="M20" s="7"/>
      <c r="N20" s="7"/>
      <c r="O20" s="7"/>
      <c r="P20" s="7"/>
      <c r="Q20" s="9"/>
      <c r="R20" s="15"/>
    </row>
    <row r="21" spans="2:18" x14ac:dyDescent="0.25">
      <c r="B21" s="10"/>
      <c r="C21" s="7"/>
      <c r="D21" s="7"/>
      <c r="E21" s="7"/>
      <c r="F21" s="8"/>
      <c r="G21" s="7"/>
      <c r="H21" s="7"/>
      <c r="I21" s="7"/>
      <c r="J21" s="7"/>
      <c r="K21" s="7"/>
      <c r="L21" s="7"/>
      <c r="M21" s="7"/>
      <c r="N21" s="7"/>
      <c r="O21" s="7"/>
      <c r="P21" s="7"/>
      <c r="Q21" s="9"/>
      <c r="R21" s="15"/>
    </row>
    <row r="22" spans="2:18" x14ac:dyDescent="0.25">
      <c r="B22" s="10"/>
      <c r="C22" s="7"/>
      <c r="D22" s="7"/>
      <c r="E22" s="7"/>
      <c r="F22" s="8"/>
      <c r="G22" s="7"/>
      <c r="H22" s="7"/>
      <c r="I22" s="7"/>
      <c r="J22" s="7"/>
      <c r="K22" s="7"/>
      <c r="L22" s="7"/>
      <c r="M22" s="7"/>
      <c r="N22" s="7"/>
      <c r="O22" s="7"/>
      <c r="P22" s="7"/>
      <c r="Q22" s="9"/>
      <c r="R22" s="15"/>
    </row>
    <row r="23" spans="2:18" x14ac:dyDescent="0.25">
      <c r="B23" s="10"/>
      <c r="C23" s="7"/>
      <c r="D23" s="7"/>
      <c r="E23" s="7"/>
      <c r="F23" s="8"/>
      <c r="G23" s="7"/>
      <c r="H23" s="7"/>
      <c r="I23" s="7"/>
      <c r="J23" s="7"/>
      <c r="K23" s="7"/>
      <c r="L23" s="7"/>
      <c r="M23" s="7"/>
      <c r="N23" s="7"/>
      <c r="O23" s="7"/>
      <c r="P23" s="7"/>
      <c r="Q23" s="9"/>
      <c r="R23" s="15"/>
    </row>
    <row r="24" spans="2:18" x14ac:dyDescent="0.25">
      <c r="B24" s="10"/>
      <c r="C24" s="7"/>
      <c r="D24" s="7"/>
      <c r="E24" s="7"/>
      <c r="F24" s="8"/>
      <c r="G24" s="7"/>
      <c r="H24" s="7"/>
      <c r="I24" s="7"/>
      <c r="J24" s="7"/>
      <c r="K24" s="7"/>
      <c r="L24" s="7"/>
      <c r="M24" s="7"/>
      <c r="N24" s="7"/>
      <c r="O24" s="7"/>
      <c r="P24" s="7"/>
      <c r="Q24" s="9"/>
      <c r="R24" s="15"/>
    </row>
    <row r="25" spans="2:18" x14ac:dyDescent="0.25">
      <c r="B25" s="10"/>
      <c r="C25" s="7"/>
      <c r="D25" s="7"/>
      <c r="E25" s="7"/>
      <c r="F25" s="8"/>
      <c r="G25" s="7"/>
      <c r="H25" s="7"/>
      <c r="I25" s="7"/>
      <c r="J25" s="7"/>
      <c r="K25" s="7"/>
      <c r="L25" s="7"/>
      <c r="M25" s="7"/>
      <c r="N25" s="7"/>
      <c r="O25" s="7"/>
      <c r="P25" s="7"/>
      <c r="Q25" s="9"/>
      <c r="R25" s="15"/>
    </row>
    <row r="26" spans="2:18" x14ac:dyDescent="0.25">
      <c r="B26" s="10"/>
      <c r="C26" s="7"/>
      <c r="D26" s="7"/>
      <c r="E26" s="7"/>
      <c r="F26" s="8"/>
      <c r="G26" s="7"/>
      <c r="H26" s="7"/>
      <c r="I26" s="7"/>
      <c r="J26" s="7"/>
      <c r="K26" s="7"/>
      <c r="L26" s="7"/>
      <c r="M26" s="7"/>
      <c r="N26" s="7"/>
      <c r="O26" s="7"/>
      <c r="P26" s="7"/>
      <c r="Q26" s="9"/>
      <c r="R26" s="15"/>
    </row>
    <row r="27" spans="2:18" x14ac:dyDescent="0.25">
      <c r="B27" s="10"/>
      <c r="C27" s="7"/>
      <c r="D27" s="7"/>
      <c r="E27" s="7"/>
      <c r="F27" s="8"/>
      <c r="G27" s="7"/>
      <c r="H27" s="7"/>
      <c r="I27" s="7"/>
      <c r="J27" s="7"/>
      <c r="K27" s="7"/>
      <c r="L27" s="7"/>
      <c r="M27" s="7"/>
      <c r="N27" s="7"/>
      <c r="O27" s="7"/>
      <c r="P27" s="7"/>
      <c r="Q27" s="9"/>
      <c r="R27" s="15"/>
    </row>
    <row r="28" spans="2:18" ht="15.75" thickBot="1" x14ac:dyDescent="0.3">
      <c r="B28" s="11"/>
      <c r="C28" s="12"/>
      <c r="D28" s="12"/>
      <c r="E28" s="12"/>
      <c r="F28" s="1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  <c r="R28" s="16"/>
    </row>
  </sheetData>
  <mergeCells count="3">
    <mergeCell ref="B2:G2"/>
    <mergeCell ref="B4:M4"/>
    <mergeCell ref="N4:R4"/>
  </mergeCells>
  <hyperlinks>
    <hyperlink ref="I8" r:id="rId1" location="/estimate?id=7fa5ce0bd38a9f4d98a45202b79de322ddc7573d" xr:uid="{62AB6F8B-96E8-4F21-9759-259248340FE9}"/>
    <hyperlink ref="I7" r:id="rId2" location="/estimate?id=10b453bcb8240570535c37845355cee2e9a94b25" xr:uid="{4A204411-D509-4DA1-A7F0-CA3C1C08A9E4}"/>
    <hyperlink ref="I9" r:id="rId3" location="/estimate?id=857676faf2c2cbb729409da4bbf9d78d8d809334" xr:uid="{D53FB1EC-9F17-4434-82F2-1EE357287936}"/>
    <hyperlink ref="I10" r:id="rId4" location="/estimate?id=166e554154b9ea99921654276d3b85fa82886569" xr:uid="{FAAF279D-2DC6-4FDA-9C97-92ECB1EBB3A4}"/>
    <hyperlink ref="I11" r:id="rId5" location="/estimate?id=1811ae01ae4a7e7701e0ce7c9fb2a56e527215b1" xr:uid="{68D7A0AB-F003-45A2-95A1-8F923D5821CF}"/>
    <hyperlink ref="I12" r:id="rId6" location="/estimate?id=840fa50c0e459d7ee5c537d356516845a65e3dc6" xr:uid="{E911107F-9247-4FED-98C9-EAA1F46882E7}"/>
    <hyperlink ref="I13" r:id="rId7" location="/estimate?id=67f3cd4503285e50f20495cc0ae3cf356094eb7f" xr:uid="{F7BA0EE8-BCA3-48FF-A554-F79D5A976680}"/>
  </hyperlinks>
  <pageMargins left="0.7" right="0.7" top="0.75" bottom="0.75" header="0.3" footer="0.3"/>
  <pageSetup orientation="portrait" r:id="rId8"/>
  <headerFooter>
    <oddHeader>&amp;L&amp;"Mulish"&amp;10&amp;K767171 Restricted&amp;1#_x000D_</oddHeader>
    <oddFooter>&amp;R_x000D_&amp;1#&amp;"Mulish"&amp;10&amp;K767171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0D751452529648B5D80A0D24C025BC" ma:contentTypeVersion="20" ma:contentTypeDescription="Crie um novo documento." ma:contentTypeScope="" ma:versionID="9059d732c7fe7a6995e937d1ae3e0bf9">
  <xsd:schema xmlns:xsd="http://www.w3.org/2001/XMLSchema" xmlns:xs="http://www.w3.org/2001/XMLSchema" xmlns:p="http://schemas.microsoft.com/office/2006/metadata/properties" xmlns:ns1="http://schemas.microsoft.com/sharepoint/v3" xmlns:ns2="01529a5a-2227-435d-9517-052669d25c9f" xmlns:ns3="ede3a894-93c8-4df5-8f44-89bf7d6ecf08" targetNamespace="http://schemas.microsoft.com/office/2006/metadata/properties" ma:root="true" ma:fieldsID="fb1a13e6353ea864dfe287052805b858" ns1:_="" ns2:_="" ns3:_="">
    <xsd:import namespace="http://schemas.microsoft.com/sharepoint/v3"/>
    <xsd:import namespace="01529a5a-2227-435d-9517-052669d25c9f"/>
    <xsd:import namespace="ede3a894-93c8-4df5-8f44-89bf7d6ec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29a5a-2227-435d-9517-052669d25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1dfd6d6-3f83-4e75-bea7-02c2581fe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3a894-93c8-4df5-8f44-89bf7d6ec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3adde8f6-c017-4831-a07f-df121deadf64}" ma:internalName="TaxCatchAll" ma:showField="CatchAllData" ma:web="ede3a894-93c8-4df5-8f44-89bf7d6ec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529a5a-2227-435d-9517-052669d25c9f">
      <Terms xmlns="http://schemas.microsoft.com/office/infopath/2007/PartnerControls"/>
    </lcf76f155ced4ddcb4097134ff3c332f>
    <TaxCatchAll xmlns="ede3a894-93c8-4df5-8f44-89bf7d6ecf0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58D2FE6-242C-40D5-AA43-74444DDF4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529a5a-2227-435d-9517-052669d25c9f"/>
    <ds:schemaRef ds:uri="ede3a894-93c8-4df5-8f44-89bf7d6ecf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629ED0-C193-49E8-8D23-F87D24D01E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5A9C5-AC91-4D2B-BA7A-D489C14803A2}">
  <ds:schemaRefs>
    <ds:schemaRef ds:uri="http://schemas.microsoft.com/office/2006/metadata/properties"/>
    <ds:schemaRef ds:uri="http://schemas.microsoft.com/office/infopath/2007/PartnerControls"/>
    <ds:schemaRef ds:uri="35c03b5a-1e05-4d9d-bed4-4f46094b1bc2"/>
    <ds:schemaRef ds:uri="f3d7f80c-ae75-470e-90a7-0ae107332c28"/>
    <ds:schemaRef ds:uri="01529a5a-2227-435d-9517-052669d25c9f"/>
    <ds:schemaRef ds:uri="ede3a894-93c8-4df5-8f44-89bf7d6ecf0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Pesiguelo, F</dc:creator>
  <cp:lastModifiedBy>Rey Arrieta, Erlin</cp:lastModifiedBy>
  <dcterms:created xsi:type="dcterms:W3CDTF">2025-03-21T14:45:32Z</dcterms:created>
  <dcterms:modified xsi:type="dcterms:W3CDTF">2026-05-05T20:29:57Z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0x010100E30D751452529648B5D80A0D24C025BC</vt:lpwstr>
  </property>
  <property fmtid="{D5CDD505-2E9C-101B-9397-08002B2CF9AE}" pid="3" name="MSIP_Label_3dec0322-88f9-42dd-8ee7-b6e9149ad32e_Enabled">
    <vt:lpwstr>true</vt:lpwstr>
  </property>
  <property fmtid="{D5CDD505-2E9C-101B-9397-08002B2CF9AE}" pid="4" name="MSIP_Label_3dec0322-88f9-42dd-8ee7-b6e9149ad32e_SetDate">
    <vt:lpwstr>2026-04-06T14:49:36Z</vt:lpwstr>
  </property>
  <property fmtid="{D5CDD505-2E9C-101B-9397-08002B2CF9AE}" pid="5" name="MSIP_Label_3dec0322-88f9-42dd-8ee7-b6e9149ad32e_Method">
    <vt:lpwstr>Privileged</vt:lpwstr>
  </property>
  <property fmtid="{D5CDD505-2E9C-101B-9397-08002B2CF9AE}" pid="6" name="MSIP_Label_3dec0322-88f9-42dd-8ee7-b6e9149ad32e_Name">
    <vt:lpwstr>Restrita</vt:lpwstr>
  </property>
  <property fmtid="{D5CDD505-2E9C-101B-9397-08002B2CF9AE}" pid="7" name="MSIP_Label_3dec0322-88f9-42dd-8ee7-b6e9149ad32e_SiteId">
    <vt:lpwstr>97fa1f96-7877-469f-aa37-1f8568e3a3ff</vt:lpwstr>
  </property>
  <property fmtid="{D5CDD505-2E9C-101B-9397-08002B2CF9AE}" pid="8" name="MSIP_Label_3dec0322-88f9-42dd-8ee7-b6e9149ad32e_ActionId">
    <vt:lpwstr>9ce461a5-ce75-41e2-9538-c196e2816b75</vt:lpwstr>
  </property>
  <property fmtid="{D5CDD505-2E9C-101B-9397-08002B2CF9AE}" pid="9" name="MSIP_Label_3dec0322-88f9-42dd-8ee7-b6e9149ad32e_ContentBits">
    <vt:lpwstr>3</vt:lpwstr>
  </property>
  <property fmtid="{D5CDD505-2E9C-101B-9397-08002B2CF9AE}" pid="10" name="MSIP_Label_3dec0322-88f9-42dd-8ee7-b6e9149ad32e_Tag">
    <vt:lpwstr>10, 0, 1, 1</vt:lpwstr>
  </property>
  <property fmtid="{D5CDD505-2E9C-101B-9397-08002B2CF9AE}" pid="11" name="MediaServiceImageTags">
    <vt:lpwstr/>
  </property>
</Properties>
</file>